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<sst xmlns="http://schemas.openxmlformats.org/spreadsheetml/2006/main" count="23" uniqueCount="23">
  <si>
    <t>CAPITAL</t>
  </si>
  <si>
    <t>COMISION</t>
  </si>
  <si>
    <t>.                CALCULO DE TASAS Y GANANCIA</t>
  </si>
  <si>
    <t>Venta Lote Completo</t>
  </si>
  <si>
    <t>Compra de 20 USDT</t>
  </si>
  <si>
    <t>GANANCIA</t>
  </si>
  <si>
    <t xml:space="preserve">TASA </t>
  </si>
  <si>
    <t>MONTO</t>
  </si>
  <si>
    <t>CICLOS AL DIA</t>
  </si>
  <si>
    <t>Tasa Minima</t>
  </si>
  <si>
    <t>Ganancia al Mes</t>
  </si>
  <si>
    <t>Ganancia por ciclo</t>
  </si>
  <si>
    <t>Ganancia Total</t>
  </si>
  <si>
    <t>Indica tu Perfil Actual en el P2P</t>
  </si>
  <si>
    <t>Perfil a Lograr</t>
  </si>
  <si>
    <t>Dias</t>
  </si>
  <si>
    <t>Total de Ordenes</t>
  </si>
  <si>
    <t>450 Ordenes</t>
  </si>
  <si>
    <t>Total de BTC 30 Dias</t>
  </si>
  <si>
    <t>2 BTC 30 Dias</t>
  </si>
  <si>
    <t>Total de BTC Cuenta</t>
  </si>
  <si>
    <t>2 BTC Total</t>
  </si>
  <si>
    <t>Total a Tardar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</si>
</sst>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.00_-;_-&quot;$&quot;* \-#,##0.00_-;_-&quot;$&quot;* &quot;-&quot;??_-;_-@"/>
    <numFmt numFmtId="165" formatCode="#,##0.000"/>
    <numFmt numFmtId="166" formatCode="#,##0[$ dias ]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u/>
      <color rgb="FF1155CC"/>
      <name val="Arial"/>
    </font>
    <font>
      <b/>
      <sz val="14.0"/>
      <color theme="1"/>
      <name val="Arial"/>
    </font>
    <font/>
    <font>
      <b/>
      <i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1" fillId="4" fontId="1" numFmtId="164" xfId="0" applyAlignment="1" applyBorder="1" applyFill="1" applyFont="1" applyNumberFormat="1">
      <alignment horizontal="right" readingOrder="0" vertical="bottom"/>
    </xf>
    <xf borderId="0" fillId="3" fontId="3" numFmtId="0" xfId="0" applyAlignment="1" applyFont="1">
      <alignment horizontal="right" vertical="bottom"/>
    </xf>
    <xf borderId="1" fillId="0" fontId="1" numFmtId="10" xfId="0" applyAlignment="1" applyBorder="1" applyFont="1" applyNumberFormat="1">
      <alignment horizontal="right" readingOrder="0" vertical="bottom"/>
    </xf>
    <xf borderId="0" fillId="5" fontId="4" numFmtId="0" xfId="0" applyAlignment="1" applyFill="1" applyFont="1">
      <alignment horizontal="center" vertical="bottom"/>
    </xf>
    <xf borderId="0" fillId="6" fontId="1" numFmtId="0" xfId="0" applyAlignment="1" applyFill="1" applyFont="1">
      <alignment vertical="bottom"/>
    </xf>
    <xf borderId="0" fillId="5" fontId="2" numFmtId="0" xfId="0" applyAlignment="1" applyFont="1">
      <alignment vertical="bottom"/>
    </xf>
    <xf borderId="1" fillId="4" fontId="1" numFmtId="0" xfId="0" applyAlignment="1" applyBorder="1" applyFont="1">
      <alignment horizontal="right" readingOrder="0" vertical="bottom"/>
    </xf>
    <xf borderId="1" fillId="7" fontId="1" numFmtId="10" xfId="0" applyAlignment="1" applyBorder="1" applyFill="1" applyFont="1" applyNumberFormat="1">
      <alignment horizontal="right" vertical="bottom"/>
    </xf>
    <xf borderId="1" fillId="7" fontId="1" numFmtId="4" xfId="0" applyAlignment="1" applyBorder="1" applyFont="1" applyNumberFormat="1">
      <alignment horizontal="right" vertical="bottom"/>
    </xf>
    <xf borderId="0" fillId="3" fontId="1" numFmtId="0" xfId="0" applyAlignment="1" applyFont="1">
      <alignment horizontal="right" vertical="bottom"/>
    </xf>
    <xf borderId="0" fillId="6" fontId="1" numFmtId="4" xfId="0" applyAlignment="1" applyFont="1" applyNumberFormat="1">
      <alignment vertical="bottom"/>
    </xf>
    <xf borderId="1" fillId="7" fontId="1" numFmtId="165" xfId="0" applyAlignment="1" applyBorder="1" applyFont="1" applyNumberFormat="1">
      <alignment horizontal="right" vertical="bottom"/>
    </xf>
    <xf borderId="0" fillId="6" fontId="2" numFmtId="4" xfId="0" applyAlignment="1" applyFont="1" applyNumberFormat="1">
      <alignment horizontal="center"/>
    </xf>
    <xf borderId="2" fillId="7" fontId="2" numFmtId="164" xfId="0" applyAlignment="1" applyBorder="1" applyFont="1" applyNumberFormat="1">
      <alignment horizontal="center"/>
    </xf>
    <xf borderId="1" fillId="7" fontId="1" numFmtId="164" xfId="0" applyAlignment="1" applyBorder="1" applyFont="1" applyNumberFormat="1">
      <alignment horizontal="right" vertical="bottom"/>
    </xf>
    <xf borderId="3" fillId="0" fontId="5" numFmtId="0" xfId="0" applyBorder="1" applyFont="1"/>
    <xf borderId="4" fillId="0" fontId="5" numFmtId="0" xfId="0" applyBorder="1" applyFont="1"/>
    <xf borderId="0" fillId="3" fontId="1" numFmtId="4" xfId="0" applyAlignment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0" fillId="3" fontId="6" numFmtId="4" xfId="0" applyAlignment="1" applyFont="1" applyNumberFormat="1">
      <alignment horizontal="right" vertical="bottom"/>
    </xf>
    <xf borderId="0" fillId="6" fontId="6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nance.com/es/fee/p2pFeeRat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2"/>
      <c r="D1" s="2"/>
      <c r="E1" s="2"/>
      <c r="F1" s="2"/>
      <c r="G1" s="2"/>
    </row>
    <row r="2" ht="15.75" customHeight="1">
      <c r="A2" s="1"/>
      <c r="B2" s="2"/>
      <c r="C2" s="3" t="s">
        <v>0</v>
      </c>
      <c r="D2" s="4">
        <v>3000.0</v>
      </c>
      <c r="E2" s="5" t="s">
        <v>1</v>
      </c>
      <c r="F2" s="6">
        <v>0.0013</v>
      </c>
      <c r="G2" s="2"/>
    </row>
    <row r="3" ht="15.75" customHeight="1">
      <c r="A3" s="1"/>
      <c r="B3" s="2"/>
      <c r="C3" s="2"/>
      <c r="D3" s="2">
        <v>240.0</v>
      </c>
      <c r="E3" s="2"/>
      <c r="F3" s="2"/>
      <c r="G3" s="2"/>
    </row>
    <row r="4" ht="15.75" customHeight="1">
      <c r="A4" s="1"/>
      <c r="B4" s="7" t="s">
        <v>2</v>
      </c>
    </row>
    <row r="5" ht="15.75" customHeight="1">
      <c r="A5" s="1"/>
      <c r="B5" s="2"/>
      <c r="C5" s="2"/>
      <c r="D5" s="2"/>
      <c r="E5" s="2"/>
      <c r="F5" s="2"/>
      <c r="G5" s="2"/>
    </row>
    <row r="6" ht="15.75" customHeight="1">
      <c r="A6" s="1"/>
      <c r="B6" s="2"/>
      <c r="C6" s="2"/>
      <c r="D6" s="8" t="s">
        <v>3</v>
      </c>
      <c r="E6" s="8" t="s">
        <v>4</v>
      </c>
      <c r="F6" s="8" t="s">
        <v>5</v>
      </c>
      <c r="G6" s="2"/>
    </row>
    <row r="7" ht="15.75" customHeight="1">
      <c r="A7" s="1"/>
      <c r="B7" s="2"/>
      <c r="C7" s="9" t="s">
        <v>6</v>
      </c>
      <c r="D7" s="10">
        <v>646.0</v>
      </c>
      <c r="E7" s="10">
        <v>642.75</v>
      </c>
      <c r="F7" s="11">
        <f>(((E8*100)/D2)-100)/100</f>
        <v>0.002444950198</v>
      </c>
      <c r="G7" s="2"/>
    </row>
    <row r="8" ht="15.75" customHeight="1">
      <c r="A8" s="1"/>
      <c r="B8" s="2"/>
      <c r="C8" s="9" t="s">
        <v>7</v>
      </c>
      <c r="D8" s="12">
        <f>((D7*D2)-(D7*D2)*F2)</f>
        <v>1935480.6</v>
      </c>
      <c r="E8" s="12">
        <f>(D8/E7)-((D8/E7)*F2)</f>
        <v>3007.334851</v>
      </c>
      <c r="F8" s="2"/>
      <c r="G8" s="2"/>
    </row>
    <row r="9" ht="15.75" customHeight="1">
      <c r="A9" s="1"/>
      <c r="B9" s="2"/>
      <c r="C9" s="9" t="s">
        <v>8</v>
      </c>
      <c r="D9" s="13">
        <v>8.0</v>
      </c>
      <c r="E9" s="2"/>
      <c r="F9" s="2"/>
      <c r="G9" s="2"/>
    </row>
    <row r="10" ht="15.75" customHeight="1">
      <c r="A10" s="1"/>
      <c r="B10" s="2"/>
      <c r="C10" s="2"/>
      <c r="D10" s="2"/>
      <c r="E10" s="2"/>
      <c r="F10" s="2"/>
      <c r="G10" s="2"/>
    </row>
    <row r="11" ht="15.75" customHeight="1">
      <c r="A11" s="1"/>
      <c r="B11" s="2"/>
      <c r="C11" s="14" t="s">
        <v>9</v>
      </c>
      <c r="D11" s="15">
        <f>(D7-D7*F2)-(D7*F2)</f>
        <v>644.3204</v>
      </c>
      <c r="E11" s="16" t="s">
        <v>10</v>
      </c>
      <c r="F11" s="17">
        <f>D13*30</f>
        <v>1760.364143</v>
      </c>
      <c r="G11" s="2"/>
    </row>
    <row r="12" ht="15.75" customHeight="1">
      <c r="A12" s="1"/>
      <c r="B12" s="2"/>
      <c r="C12" s="14" t="s">
        <v>11</v>
      </c>
      <c r="D12" s="18">
        <f>(D2*F7)</f>
        <v>7.334850595</v>
      </c>
      <c r="F12" s="19"/>
      <c r="G12" s="2"/>
    </row>
    <row r="13" ht="15.75" customHeight="1">
      <c r="A13" s="1"/>
      <c r="B13" s="2"/>
      <c r="C13" s="14" t="s">
        <v>12</v>
      </c>
      <c r="D13" s="18">
        <f>(F7*D9*D2)</f>
        <v>58.67880476</v>
      </c>
      <c r="F13" s="20"/>
      <c r="G13" s="2"/>
    </row>
    <row r="14" ht="15.75" customHeight="1">
      <c r="A14" s="1"/>
      <c r="B14" s="2"/>
      <c r="C14" s="21"/>
      <c r="D14" s="21"/>
      <c r="E14" s="21"/>
      <c r="F14" s="2"/>
      <c r="G14" s="2"/>
    </row>
    <row r="15" ht="15.75" customHeight="1">
      <c r="A15" s="1"/>
      <c r="B15" s="2"/>
      <c r="C15" s="9" t="s">
        <v>13</v>
      </c>
      <c r="E15" s="9" t="s">
        <v>14</v>
      </c>
      <c r="F15" s="9" t="s">
        <v>15</v>
      </c>
      <c r="G15" s="2"/>
    </row>
    <row r="16" ht="15.75" customHeight="1">
      <c r="A16" s="1"/>
      <c r="B16" s="2"/>
      <c r="C16" s="8" t="s">
        <v>16</v>
      </c>
      <c r="D16" s="22">
        <v>150.0</v>
      </c>
      <c r="E16" s="14" t="s">
        <v>17</v>
      </c>
      <c r="F16" s="12">
        <f>((450-D16)/(D2/20)+1)/D9</f>
        <v>0.375</v>
      </c>
      <c r="G16" s="2"/>
    </row>
    <row r="17" ht="15.75" customHeight="1">
      <c r="A17" s="1"/>
      <c r="B17" s="2"/>
      <c r="C17" s="8" t="s">
        <v>18</v>
      </c>
      <c r="D17" s="22">
        <v>0.5</v>
      </c>
      <c r="E17" s="14" t="s">
        <v>19</v>
      </c>
      <c r="F17" s="12">
        <f>IFERROR(__xludf.DUMMYFUNCTION("((GOOGLEFINANCE(""BTC-USD"")*(2-D17))/D2)/D9"),4.688875)</f>
        <v>4.688875</v>
      </c>
      <c r="G17" s="2"/>
    </row>
    <row r="18" ht="15.75" customHeight="1">
      <c r="A18" s="1"/>
      <c r="B18" s="2"/>
      <c r="C18" s="8" t="s">
        <v>20</v>
      </c>
      <c r="D18" s="22">
        <v>2.0</v>
      </c>
      <c r="E18" s="14" t="s">
        <v>21</v>
      </c>
      <c r="F18" s="12">
        <f>IFERROR(__xludf.DUMMYFUNCTION("((GOOGLEFINANCE(""BTC-USD"")*(2-D18))/D2)/D9"),0.0)</f>
        <v>0</v>
      </c>
      <c r="G18" s="2"/>
    </row>
    <row r="19" ht="15.75" customHeight="1">
      <c r="A19" s="1"/>
      <c r="B19" s="2"/>
      <c r="C19" s="21"/>
      <c r="D19" s="21"/>
      <c r="E19" s="23" t="s">
        <v>22</v>
      </c>
      <c r="F19" s="24">
        <f>MAX(F16:F18)</f>
        <v>4.688875</v>
      </c>
      <c r="G19" s="2"/>
    </row>
    <row r="20" ht="15.75" customHeight="1">
      <c r="A20" s="1"/>
      <c r="B20" s="2"/>
      <c r="C20" s="21"/>
      <c r="D20" s="21"/>
      <c r="E20" s="21"/>
      <c r="F20" s="2"/>
      <c r="G20" s="2"/>
    </row>
    <row r="21" ht="15.75" customHeight="1">
      <c r="A21" s="1"/>
      <c r="B21" s="2"/>
      <c r="C21" s="21"/>
      <c r="D21" s="21"/>
      <c r="E21" s="21"/>
      <c r="F21" s="2"/>
      <c r="G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G4"/>
    <mergeCell ref="E11:E13"/>
    <mergeCell ref="F11:F13"/>
    <mergeCell ref="C15:D15"/>
  </mergeCells>
  <dataValidations>
    <dataValidation type="list" allowBlank="1" showErrorMessage="1" sqref="D9">
      <formula1>"1,2,3,4,5,6,7,8,9,10"</formula1>
    </dataValidation>
  </dataValidations>
  <hyperlinks>
    <hyperlink r:id="rId1" ref="E2"/>
  </hyperlinks>
  <drawing r:id="rId2"/>
</worksheet>
</file>